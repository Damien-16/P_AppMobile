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P_AppMobile\"/>
    </mc:Choice>
  </mc:AlternateContent>
  <xr:revisionPtr revIDLastSave="0" documentId="13_ncr:1_{C0E45D77-D6F4-4BB0-BFBA-5B261372BCDB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<sst xmlns="http://schemas.openxmlformats.org/spreadsheetml/2006/main" count="38" uniqueCount="32">
  <si>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</si>
  <si>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</si>
  <si>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</si>
  <si>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</si>
  <si>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</si>
  <si>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</si>
  <si>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</si>
  <si>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</si>
  <si>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</si>
  <si>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</si>
  <si>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</si>
  <si>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</si>
  <si>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</si>
  <si>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</si>
  <si>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</si>
  <si>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</si>
  <si>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</si>
  <si>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</si>
  <si>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</si>
  <si>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</si>
  <si>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>Nom Prénom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</si>
  <si>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</si>
  <si>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</si>
  <si>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</si>
  <si>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</si>
  <si>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</si>
  <si>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</si>
  <si>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</si>
  <si>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</si>
  <si>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Création des maquettes</t>
  </si>
  <si>
    <t>Visuel du site</t>
  </si>
  <si>
    <t>P_AppMobile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</si>
</sst>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225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G12" sqref="G1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28</v>
      </c>
      <c r="G1" s="11"/>
    </row>
    <row r="2" spans="1:15" ht="23.25" x14ac:dyDescent="0.35">
      <c r="A2" s="82" t="s">
        <v>0</v>
      </c>
      <c r="B2" s="82"/>
      <c r="C2" s="80" t="s">
        <v>20</v>
      </c>
      <c r="D2" s="80"/>
      <c r="E2" s="80"/>
      <c r="F2" s="5" t="s">
        <v>1</v>
      </c>
      <c r="G2" s="75" t="s">
        <v>31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3 heures 45 minutes</v>
      </c>
      <c r="D3" s="19"/>
      <c r="E3" s="3"/>
      <c r="F3" s="4" t="s">
        <v>6</v>
      </c>
      <c r="G3" s="76"/>
    </row>
    <row r="4" spans="1:15" ht="23.25" hidden="1" x14ac:dyDescent="0.35">
      <c r="B4" s="5"/>
      <c r="C4" s="19">
        <f>SUBTOTAL(9,$C$7:$C$531)*60</f>
        <v>180</v>
      </c>
      <c r="D4" s="19">
        <f>SUBTOTAL(9,$D$7:$D$531)</f>
        <v>45</v>
      </c>
      <c r="E4" s="29">
        <f>SUM(C4:D4)</f>
        <v>225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21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46099</v>
      </c>
      <c r="C7" s="33">
        <v>2</v>
      </c>
      <c r="D7" s="34">
        <v>15</v>
      </c>
      <c r="E7" s="35" t="s">
        <v>19</v>
      </c>
      <c r="F7" s="28" t="s">
        <v>29</v>
      </c>
      <c r="G7" s="44"/>
    </row>
    <row r="8" spans="1:15" x14ac:dyDescent="0.25">
      <c r="A8" s="73">
        <f>IF(ISBLANK(B8),"",_xlfn.ISOWEEKNUM('Journal de travail'!$B8))</f>
        <v>13</v>
      </c>
      <c r="B8" s="36">
        <v>46106</v>
      </c>
      <c r="C8" s="37">
        <v>1</v>
      </c>
      <c r="D8" s="38">
        <v>30</v>
      </c>
      <c r="E8" s="39" t="s">
        <v>19</v>
      </c>
      <c r="F8" s="28" t="s">
        <v>30</v>
      </c>
      <c r="G8" s="45"/>
      <c r="M8" t="s">
        <v>2</v>
      </c>
      <c r="N8">
        <v>1</v>
      </c>
      <c r="O8">
        <v>0</v>
      </c>
    </row>
    <row r="9" spans="1:15" x14ac:dyDescent="0.25">
      <c r="A9" s="74" t="str">
        <f>IF(ISBLANK(B9),"",_xlfn.ISOWEEKNUM('Journal de travail'!$B9))</f>
        <v/>
      </c>
      <c r="B9" s="40"/>
      <c r="C9" s="41"/>
      <c r="D9" s="42"/>
      <c r="E9" s="43"/>
      <c r="F9" s="28"/>
      <c r="G9" s="46"/>
      <c r="M9" t="s">
        <v>19</v>
      </c>
      <c r="N9">
        <v>2</v>
      </c>
      <c r="O9">
        <v>5</v>
      </c>
    </row>
    <row r="10" spans="1:15" x14ac:dyDescent="0.25">
      <c r="A10" s="73" t="str">
        <f>IF(ISBLANK(B10),"",_xlfn.ISOWEEKNUM('Journal de travail'!$B10))</f>
        <v/>
      </c>
      <c r="B10" s="36"/>
      <c r="C10" s="37"/>
      <c r="D10" s="38"/>
      <c r="E10" s="39"/>
      <c r="F10" s="28"/>
      <c r="G10" s="45"/>
      <c r="M10" t="s">
        <v>3</v>
      </c>
      <c r="N10">
        <v>3</v>
      </c>
      <c r="O10">
        <v>10</v>
      </c>
    </row>
    <row r="11" spans="1:15" x14ac:dyDescent="0.25">
      <c r="A11" s="74" t="str">
        <f>IF(ISBLANK(B11),"",_xlfn.ISOWEEKNUM('Journal de travail'!$B11))</f>
        <v/>
      </c>
      <c r="B11" s="40"/>
      <c r="C11" s="41"/>
      <c r="D11" s="42"/>
      <c r="E11" s="43"/>
      <c r="F11" s="28"/>
      <c r="G11" s="46"/>
      <c r="M11" t="s">
        <v>4</v>
      </c>
      <c r="N11">
        <v>4</v>
      </c>
      <c r="O11">
        <v>15</v>
      </c>
    </row>
    <row r="12" spans="1:15" x14ac:dyDescent="0.25">
      <c r="A12" s="73" t="str">
        <f>IF(ISBLANK(B12),"",_xlfn.ISOWEEKNUM('Journal de travail'!$B12))</f>
        <v/>
      </c>
      <c r="B12" s="36"/>
      <c r="C12" s="37"/>
      <c r="D12" s="38"/>
      <c r="E12" s="39"/>
      <c r="F12" s="28"/>
      <c r="G12" s="45"/>
      <c r="N12">
        <v>5</v>
      </c>
      <c r="O12">
        <v>20</v>
      </c>
    </row>
    <row r="13" spans="1:15" x14ac:dyDescent="0.25">
      <c r="A13" s="74" t="str">
        <f>IF(ISBLANK(B13),"",_xlfn.ISOWEEKNUM('Journal de travail'!$B13))</f>
        <v/>
      </c>
      <c r="B13" s="40"/>
      <c r="C13" s="41"/>
      <c r="D13" s="42"/>
      <c r="E13" s="43"/>
      <c r="F13" s="28"/>
      <c r="G13" s="46"/>
      <c r="N13">
        <v>6</v>
      </c>
      <c r="O13">
        <v>25</v>
      </c>
    </row>
    <row r="14" spans="1:15" x14ac:dyDescent="0.25">
      <c r="A14" s="73" t="str">
        <f>IF(ISBLANK(B14),"",_xlfn.ISOWEEKNUM('Journal de travail'!$B14))</f>
        <v/>
      </c>
      <c r="B14" s="36"/>
      <c r="C14" s="37"/>
      <c r="D14" s="38"/>
      <c r="E14" s="39"/>
      <c r="F14" s="28"/>
      <c r="G14" s="45"/>
      <c r="N14">
        <v>7</v>
      </c>
      <c r="O14">
        <v>30</v>
      </c>
    </row>
    <row r="15" spans="1:15" x14ac:dyDescent="0.25">
      <c r="A15" s="74" t="str">
        <f>IF(ISBLANK(B15),"",_xlfn.ISOWEEKNUM('Journal de travail'!$B15))</f>
        <v/>
      </c>
      <c r="B15" s="40"/>
      <c r="C15" s="41"/>
      <c r="D15" s="42"/>
      <c r="E15" s="43"/>
      <c r="F15" s="28"/>
      <c r="G15" s="46"/>
      <c r="N15">
        <v>8</v>
      </c>
      <c r="O15">
        <v>35</v>
      </c>
    </row>
    <row r="16" spans="1:15" x14ac:dyDescent="0.25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zoomScale="85" zoomScaleNormal="85" workbookViewId="0">
      <selection activeCell="M6" sqref="M6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25</v>
      </c>
      <c r="F2" s="79">
        <v>88</v>
      </c>
      <c r="G2" s="77" t="s">
        <v>24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26</v>
      </c>
      <c r="L4" s="77" t="s">
        <v>22</v>
      </c>
      <c r="M4" s="48"/>
      <c r="N4" s="24"/>
    </row>
    <row r="5" spans="1:14" x14ac:dyDescent="0.3">
      <c r="A5" t="s">
        <v>16</v>
      </c>
      <c r="B5" t="s">
        <v>17</v>
      </c>
      <c r="C5" s="48" t="s">
        <v>27</v>
      </c>
      <c r="D5" s="49"/>
      <c r="E5" s="53" t="s">
        <v>12</v>
      </c>
      <c r="F5" s="54" t="s">
        <v>13</v>
      </c>
      <c r="G5" s="58" t="s">
        <v>23</v>
      </c>
      <c r="L5" s="59" t="s">
        <v>12</v>
      </c>
      <c r="M5" s="60" t="s">
        <v>13</v>
      </c>
      <c r="N5" s="61" t="s">
        <v>23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180</v>
      </c>
      <c r="B7">
        <f>SUMIF('Journal de travail'!$E$7:$E$532,Plannification!E7,'Journal de travail'!$D$7:$D$532)</f>
        <v>45</v>
      </c>
      <c r="C7">
        <f t="shared" si="0"/>
        <v>225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3 h 45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180</v>
      </c>
      <c r="B10">
        <f>SUM(B6:B9)</f>
        <v>45</v>
      </c>
      <c r="C10">
        <f>SUM(A10:B10)</f>
        <v>225</v>
      </c>
      <c r="E10" s="20" t="s">
        <v>18</v>
      </c>
      <c r="F10" s="50" t="str">
        <f t="shared" si="1"/>
        <v>3 h 45 min</v>
      </c>
      <c r="G10" s="57">
        <f>C10/C11</f>
        <v>4.261363636363636E-2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70" zoomScaleNormal="70"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2026-03-25T14:55:06Z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