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E5B5BBE0-5299-409B-931F-F01208E9B5B2}" xr6:coauthVersionLast="47" xr6:coauthVersionMax="47" xr10:uidLastSave="{00000000-0000-0000-0000-000000000000}"/>
  <bookViews>
    <workbookView xWindow="6600" yWindow="26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<sst xmlns="http://schemas.openxmlformats.org/spreadsheetml/2006/main" count="66" uniqueCount="46">
  <si>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</si>
  <si>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</si>
  <si>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</si>
  <si>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</si>
  <si>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</si>
  <si>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</si>
  <si>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</si>
  <si>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</si>
  <si>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</si>
  <si>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</si>
  <si>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</si>
  <si>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</si>
  <si>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</si>
  <si>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</si>
  <si>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</si>
  <si>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</si>
  <si>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</si>
  <si>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</si>
  <si>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</si>
  <si>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</si>
  <si>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</si>
  <si>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</si>
  <si>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</si>
  <si>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</si>
  <si>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</si>
  <si>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</si>
  <si>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</si>
  <si>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</si>
  <si>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</si>
  <si>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</si>
  <si>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</si>
  <si>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</si>
  <si>
    <t>Chabal Damien</t>
  </si>
  <si>
    <t>Amélioration des maquettes figma</t>
  </si>
  <si>
    <t>Ajout de l'affichage du contenu des livres</t>
  </si>
  <si>
    <t>Ajout de la suppression d'un livre dans la liste</t>
  </si>
  <si>
    <t>Ajout de l'import d'un livre epub et affichage du livre dans la liste</t>
  </si>
  <si>
    <t>Ajout du du menu, la page de détail pour un livre</t>
  </si>
  <si>
    <t xml:space="preserve">Modification de la lecture pour que se soit page par page </t>
  </si>
  <si>
    <t>debug de l'affichage avec du texte dans le livre</t>
  </si>
  <si>
    <t>Ajout de l'affichage des images du livres</t>
  </si>
  <si>
    <t>Ajout de la barre de progression dans un livre</t>
  </si>
  <si>
    <t>Ajout de la mémorisation de la page</t>
  </si>
  <si>
    <t>Ajout de la reprise automatique a la bonne page dans un livre</t>
  </si>
  <si>
    <t>Ajout du tri par date</t>
  </si>
  <si>
    <t>meilleur affichage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</si>
</sst>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930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13" activePane="bottomLeft" state="frozen"/>
      <selection pane="bottomLeft" activeCell="C22" sqref="C2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32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15 heures 30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660</v>
      </c>
      <c r="D4" s="19">
        <f>SUBTOTAL(9,$D$7:$D$531)</f>
        <v>270</v>
      </c>
      <c r="E4" s="29">
        <f>SUM(C4:D4)</f>
        <v>930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28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29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31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14</v>
      </c>
      <c r="B10" s="36">
        <v>46113</v>
      </c>
      <c r="C10" s="37">
        <v>2</v>
      </c>
      <c r="D10" s="38"/>
      <c r="E10" s="39" t="s">
        <v>19</v>
      </c>
      <c r="F10" s="28" t="s">
        <v>37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17</v>
      </c>
      <c r="B11" s="40">
        <v>46134</v>
      </c>
      <c r="C11" s="41">
        <v>1</v>
      </c>
      <c r="D11" s="42">
        <v>30</v>
      </c>
      <c r="E11" s="43" t="s">
        <v>19</v>
      </c>
      <c r="F11" s="28" t="s">
        <v>36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17</v>
      </c>
      <c r="B12" s="36">
        <v>46134</v>
      </c>
      <c r="C12" s="37"/>
      <c r="D12" s="38">
        <v>25</v>
      </c>
      <c r="E12" s="39" t="s">
        <v>19</v>
      </c>
      <c r="F12" s="28" t="s">
        <v>35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17</v>
      </c>
      <c r="B13" s="40">
        <v>46134</v>
      </c>
      <c r="C13" s="41"/>
      <c r="D13" s="42">
        <v>10</v>
      </c>
      <c r="E13" s="43" t="s">
        <v>19</v>
      </c>
      <c r="F13" s="28" t="s">
        <v>33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18</v>
      </c>
      <c r="B14" s="36">
        <v>46141</v>
      </c>
      <c r="C14" s="37">
        <v>1</v>
      </c>
      <c r="D14" s="38">
        <v>10</v>
      </c>
      <c r="E14" s="39" t="s">
        <v>19</v>
      </c>
      <c r="F14" s="28" t="s">
        <v>34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18</v>
      </c>
      <c r="B15" s="40">
        <v>46141</v>
      </c>
      <c r="C15" s="41">
        <v>1</v>
      </c>
      <c r="D15" s="42"/>
      <c r="E15" s="43" t="s">
        <v>19</v>
      </c>
      <c r="F15" s="28" t="s">
        <v>40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18</v>
      </c>
      <c r="B16" s="36">
        <v>46141</v>
      </c>
      <c r="C16" s="37"/>
      <c r="D16" s="38">
        <v>20</v>
      </c>
      <c r="E16" s="39" t="s">
        <v>19</v>
      </c>
      <c r="F16" s="28" t="s">
        <v>39</v>
      </c>
      <c r="G16" s="45"/>
      <c r="O16">
        <v>40</v>
      </c>
    </row>
    <row r="17" spans="1:15" x14ac:dyDescent="0.25">
      <c r="A17" s="74">
        <f>IF(ISBLANK(B17),"",_xlfn.ISOWEEKNUM('Journal de travail'!$B17))</f>
        <v>19</v>
      </c>
      <c r="B17" s="40">
        <v>46148</v>
      </c>
      <c r="C17" s="41">
        <v>1</v>
      </c>
      <c r="D17" s="42"/>
      <c r="E17" s="43" t="s">
        <v>19</v>
      </c>
      <c r="F17" s="28" t="s">
        <v>38</v>
      </c>
      <c r="G17" s="46"/>
      <c r="O17">
        <v>45</v>
      </c>
    </row>
    <row r="18" spans="1:15" x14ac:dyDescent="0.25">
      <c r="A18" s="73">
        <f>IF(ISBLANK(B18),"",_xlfn.ISOWEEKNUM('Journal de travail'!$B18))</f>
        <v>19</v>
      </c>
      <c r="B18" s="36">
        <v>46148</v>
      </c>
      <c r="C18" s="37">
        <v>1</v>
      </c>
      <c r="D18" s="38"/>
      <c r="E18" s="39" t="s">
        <v>19</v>
      </c>
      <c r="F18" s="28" t="s">
        <v>41</v>
      </c>
      <c r="G18" s="45"/>
      <c r="O18">
        <v>50</v>
      </c>
    </row>
    <row r="19" spans="1:15" x14ac:dyDescent="0.25">
      <c r="A19" s="74">
        <f>IF(ISBLANK(B19),"",_xlfn.ISOWEEKNUM('Journal de travail'!$B19))</f>
        <v>20</v>
      </c>
      <c r="B19" s="40">
        <v>46155</v>
      </c>
      <c r="C19" s="41">
        <v>1</v>
      </c>
      <c r="D19" s="42"/>
      <c r="E19" s="43" t="s">
        <v>19</v>
      </c>
      <c r="F19" s="28" t="s">
        <v>42</v>
      </c>
      <c r="G19" s="46"/>
      <c r="O19">
        <v>55</v>
      </c>
    </row>
    <row r="20" spans="1:15" x14ac:dyDescent="0.25">
      <c r="A20" s="73">
        <f>IF(ISBLANK(B20),"",_xlfn.ISOWEEKNUM('Journal de travail'!$B20))</f>
        <v>20</v>
      </c>
      <c r="B20" s="36">
        <v>46155</v>
      </c>
      <c r="C20" s="37"/>
      <c r="D20" s="38">
        <v>25</v>
      </c>
      <c r="E20" s="39" t="s">
        <v>19</v>
      </c>
      <c r="F20" s="28" t="s">
        <v>43</v>
      </c>
      <c r="G20" s="45"/>
    </row>
    <row r="21" spans="1:15" x14ac:dyDescent="0.25">
      <c r="A21" s="74">
        <f>IF(ISBLANK(B21),"",_xlfn.ISOWEEKNUM('Journal de travail'!$B21))</f>
        <v>20</v>
      </c>
      <c r="B21" s="40">
        <v>46155</v>
      </c>
      <c r="C21" s="41"/>
      <c r="D21" s="42">
        <v>30</v>
      </c>
      <c r="E21" s="43" t="s">
        <v>19</v>
      </c>
      <c r="F21" s="28" t="s">
        <v>44</v>
      </c>
      <c r="G21" s="46"/>
    </row>
    <row r="22" spans="1:15" x14ac:dyDescent="0.25">
      <c r="A22" s="73">
        <f>IF(ISBLANK(B22),"",_xlfn.ISOWEEKNUM('Journal de travail'!$B22))</f>
        <v>20</v>
      </c>
      <c r="B22" s="36">
        <v>46155</v>
      </c>
      <c r="C22" s="37"/>
      <c r="D22" s="38">
        <v>30</v>
      </c>
      <c r="E22" s="39" t="s">
        <v>19</v>
      </c>
      <c r="F22" s="28" t="s">
        <v>45</v>
      </c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40" zoomScaleNormal="40" workbookViewId="0">
      <selection activeCell="U10" sqref="U1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660</v>
      </c>
      <c r="B7">
        <f>SUMIF('Journal de travail'!$E$7:$E$532,Plannification!E7,'Journal de travail'!$D$7:$D$532)</f>
        <v>270</v>
      </c>
      <c r="C7">
        <f t="shared" si="0"/>
        <v>930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15 h 30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660</v>
      </c>
      <c r="B10">
        <f>SUM(B6:B9)</f>
        <v>270</v>
      </c>
      <c r="C10">
        <f>SUM(A10:B10)</f>
        <v>930</v>
      </c>
      <c r="E10" s="20" t="s">
        <v>18</v>
      </c>
      <c r="F10" s="50" t="str">
        <f t="shared" si="1"/>
        <v>15 h 30 min</v>
      </c>
      <c r="G10" s="57">
        <f>C10/C11</f>
        <v>0.17613636363636365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2026-05-13T14:31:50Z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