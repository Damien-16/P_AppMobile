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/Library/Mobile Documents/com~apple~CloudDocs/_ETML/Modules/ICT-293/Projet/"/>
    </mc:Choice>
  </mc:AlternateContent>
  <xr:revisionPtr revIDLastSave="0" documentId="13_ncr:1_{697E3415-B233-7B41-9298-AC1EAF26780E}" xr6:coauthVersionLast="47" xr6:coauthVersionMax="47" xr10:uidLastSave="{00000000-0000-0000-0000-000000000000}"/>
  <bookViews>
    <workbookView xWindow="0" yWindow="880" windowWidth="33600" windowHeight="1816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<sst xmlns="http://schemas.openxmlformats.org/spreadsheetml/2006/main" count="35" uniqueCount="31">
  <si>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</si>
  <si>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</si>
  <si>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</si>
  <si>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</si>
  <si>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</si>
  <si>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</si>
  <si>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</si>
  <si>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</si>
  <si>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</si>
  <si>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</si>
  <si>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</si>
  <si>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</si>
  <si>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</si>
  <si>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</si>
  <si>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</si>
  <si>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</si>
  <si>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</si>
  <si>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</si>
  <si>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</si>
  <si>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</si>
  <si>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>Nom Prénom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</si>
  <si>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</si>
  <si>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</si>
  <si>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</si>
  <si>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</si>
  <si>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</si>
  <si>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</si>
  <si>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</si>
  <si>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</si>
  <si>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P_WebStatique 293</t>
  </si>
  <si>
    <t>24.02.2025 au 14.03.2025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</si>
</sst>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2" sqref="F12"/>
    </sheetView>
  </sheetViews>
  <sheetFormatPr baseColWidth="10" defaultColWidth="11" defaultRowHeight="16" x14ac:dyDescent="0.2"/>
  <cols>
    <col min="1" max="1" width="14.5" style="7" bestFit="1" customWidth="1"/>
    <col min="2" max="2" width="11.83203125" style="1" customWidth="1"/>
    <col min="3" max="3" width="12.1640625" style="2" bestFit="1" customWidth="1"/>
    <col min="4" max="4" width="10.5" style="2" bestFit="1" customWidth="1"/>
    <col min="5" max="5" width="14.1640625" bestFit="1" customWidth="1"/>
    <col min="6" max="6" width="83.5" customWidth="1"/>
    <col min="7" max="7" width="72.1640625" customWidth="1"/>
    <col min="10" max="10" width="7.1640625" bestFit="1" customWidth="1"/>
    <col min="11" max="11" width="13.83203125" bestFit="1" customWidth="1"/>
    <col min="12" max="12" width="4.16406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4" x14ac:dyDescent="0.3">
      <c r="A1" s="8"/>
      <c r="B1" s="9"/>
      <c r="C1" s="10"/>
      <c r="D1" s="10"/>
      <c r="E1" s="11"/>
      <c r="F1" s="12" t="s">
        <v>28</v>
      </c>
      <c r="G1" s="11"/>
    </row>
    <row r="2" spans="1:15" ht="24" x14ac:dyDescent="0.3">
      <c r="A2" s="82" t="s">
        <v>0</v>
      </c>
      <c r="B2" s="82"/>
      <c r="C2" s="80" t="s">
        <v>20</v>
      </c>
      <c r="D2" s="80"/>
      <c r="E2" s="80"/>
      <c r="F2" s="5" t="s">
        <v>1</v>
      </c>
      <c r="G2" s="75" t="s">
        <v>29</v>
      </c>
    </row>
    <row r="3" spans="1:15" ht="24" x14ac:dyDescent="0.3">
      <c r="A3" s="82" t="s">
        <v>5</v>
      </c>
      <c r="B3" s="82"/>
      <c r="C3" s="78" t="str">
        <f>QUOTIENT(E4,60)&amp;" heures "&amp;MOD(E4,60)&amp;" minutes"</f>
        <v>0 heures 0 minutes</v>
      </c>
      <c r="D3" s="19"/>
      <c r="E3" s="3"/>
      <c r="F3" s="4" t="s">
        <v>6</v>
      </c>
      <c r="G3" s="76" t="s">
        <v>30</v>
      </c>
    </row>
    <row r="4" spans="1:15" ht="24" hidden="1" x14ac:dyDescent="0.3">
      <c r="B4" s="5"/>
      <c r="C4" s="19">
        <f>SUBTOTAL(9,$C$7:$C$531)*60</f>
        <v>0</v>
      </c>
      <c r="D4" s="19">
        <f>SUBTOTAL(9,$D$7:$D$531)</f>
        <v>0</v>
      </c>
      <c r="E4" s="29">
        <f>SUM(C4:D4)</f>
        <v>0</v>
      </c>
      <c r="F4" s="4"/>
      <c r="G4" s="6"/>
    </row>
    <row r="5" spans="1:15" x14ac:dyDescent="0.2">
      <c r="C5" s="81" t="s">
        <v>14</v>
      </c>
      <c r="D5" s="81"/>
    </row>
    <row r="6" spans="1:15" s="17" customFormat="1" ht="20" customHeight="1" x14ac:dyDescent="0.25">
      <c r="A6" s="15" t="s">
        <v>7</v>
      </c>
      <c r="B6" s="26" t="s">
        <v>8</v>
      </c>
      <c r="C6" s="31" t="s">
        <v>21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">
      <c r="A7" s="72" t="str">
        <f>IF(ISBLANK(B7),"",_xlfn.ISOWEEKNUM('Journal de travail'!$B7))</f>
        <v/>
      </c>
      <c r="B7" s="32"/>
      <c r="C7" s="33"/>
      <c r="D7" s="34"/>
      <c r="E7" s="35"/>
      <c r="F7" s="28"/>
      <c r="G7" s="44"/>
    </row>
    <row r="8" spans="1:15" x14ac:dyDescent="0.2">
      <c r="A8" s="73" t="str">
        <f>IF(ISBLANK(B8),"",_xlfn.ISOWEEKNUM('Journal de travail'!$B8))</f>
        <v/>
      </c>
      <c r="B8" s="36"/>
      <c r="C8" s="37"/>
      <c r="D8" s="38"/>
      <c r="E8" s="39"/>
      <c r="F8" s="28"/>
      <c r="G8" s="45"/>
      <c r="M8" t="s">
        <v>2</v>
      </c>
      <c r="N8">
        <v>1</v>
      </c>
      <c r="O8">
        <v>0</v>
      </c>
    </row>
    <row r="9" spans="1:15" x14ac:dyDescent="0.2">
      <c r="A9" s="74" t="str">
        <f>IF(ISBLANK(B9),"",_xlfn.ISOWEEKNUM('Journal de travail'!$B9))</f>
        <v/>
      </c>
      <c r="B9" s="40"/>
      <c r="C9" s="41"/>
      <c r="D9" s="42"/>
      <c r="E9" s="43"/>
      <c r="F9" s="28"/>
      <c r="G9" s="46"/>
      <c r="M9" t="s">
        <v>19</v>
      </c>
      <c r="N9">
        <v>2</v>
      </c>
      <c r="O9">
        <v>5</v>
      </c>
    </row>
    <row r="10" spans="1:15" x14ac:dyDescent="0.2">
      <c r="A10" s="73" t="str">
        <f>IF(ISBLANK(B10),"",_xlfn.ISOWEEKNUM('Journal de travail'!$B10))</f>
        <v/>
      </c>
      <c r="B10" s="36"/>
      <c r="C10" s="37"/>
      <c r="D10" s="38"/>
      <c r="E10" s="39"/>
      <c r="F10" s="28"/>
      <c r="G10" s="45"/>
      <c r="M10" t="s">
        <v>3</v>
      </c>
      <c r="N10">
        <v>3</v>
      </c>
      <c r="O10">
        <v>10</v>
      </c>
    </row>
    <row r="11" spans="1:15" x14ac:dyDescent="0.2">
      <c r="A11" s="74" t="str">
        <f>IF(ISBLANK(B11),"",_xlfn.ISOWEEKNUM('Journal de travail'!$B11))</f>
        <v/>
      </c>
      <c r="B11" s="40"/>
      <c r="C11" s="41"/>
      <c r="D11" s="42"/>
      <c r="E11" s="43"/>
      <c r="F11" s="28"/>
      <c r="G11" s="46"/>
      <c r="M11" t="s">
        <v>4</v>
      </c>
      <c r="N11">
        <v>4</v>
      </c>
      <c r="O11">
        <v>15</v>
      </c>
    </row>
    <row r="12" spans="1:15" x14ac:dyDescent="0.2">
      <c r="A12" s="73" t="str">
        <f>IF(ISBLANK(B12),"",_xlfn.ISOWEEKNUM('Journal de travail'!$B12))</f>
        <v/>
      </c>
      <c r="B12" s="36"/>
      <c r="C12" s="37"/>
      <c r="D12" s="38"/>
      <c r="E12" s="39"/>
      <c r="F12" s="28"/>
      <c r="G12" s="45"/>
      <c r="N12">
        <v>5</v>
      </c>
      <c r="O12">
        <v>20</v>
      </c>
    </row>
    <row r="13" spans="1:15" x14ac:dyDescent="0.2">
      <c r="A13" s="74" t="str">
        <f>IF(ISBLANK(B13),"",_xlfn.ISOWEEKNUM('Journal de travail'!$B13))</f>
        <v/>
      </c>
      <c r="B13" s="40"/>
      <c r="C13" s="41"/>
      <c r="D13" s="42"/>
      <c r="E13" s="43"/>
      <c r="F13" s="28"/>
      <c r="G13" s="46"/>
      <c r="N13">
        <v>6</v>
      </c>
      <c r="O13">
        <v>25</v>
      </c>
    </row>
    <row r="14" spans="1:15" x14ac:dyDescent="0.2">
      <c r="A14" s="73" t="str">
        <f>IF(ISBLANK(B14),"",_xlfn.ISOWEEKNUM('Journal de travail'!$B14))</f>
        <v/>
      </c>
      <c r="B14" s="36"/>
      <c r="C14" s="37"/>
      <c r="D14" s="38"/>
      <c r="E14" s="39"/>
      <c r="F14" s="28"/>
      <c r="G14" s="45"/>
      <c r="N14">
        <v>7</v>
      </c>
      <c r="O14">
        <v>30</v>
      </c>
    </row>
    <row r="15" spans="1:15" x14ac:dyDescent="0.2">
      <c r="A15" s="74" t="str">
        <f>IF(ISBLANK(B15),"",_xlfn.ISOWEEKNUM('Journal de travail'!$B15))</f>
        <v/>
      </c>
      <c r="B15" s="40"/>
      <c r="C15" s="41"/>
      <c r="D15" s="42"/>
      <c r="E15" s="43"/>
      <c r="F15" s="28"/>
      <c r="G15" s="46"/>
      <c r="N15">
        <v>8</v>
      </c>
      <c r="O15">
        <v>35</v>
      </c>
    </row>
    <row r="16" spans="1:15" x14ac:dyDescent="0.2">
      <c r="A16" s="73" t="str">
        <f>IF(ISBLANK(B16),"",_xlfn.ISOWEEKNUM('Journal de travail'!$B16))</f>
        <v/>
      </c>
      <c r="B16" s="36"/>
      <c r="C16" s="37"/>
      <c r="D16" s="38"/>
      <c r="E16" s="39"/>
      <c r="F16" s="28"/>
      <c r="G16" s="45"/>
      <c r="O16">
        <v>40</v>
      </c>
    </row>
    <row r="17" spans="1:15" x14ac:dyDescent="0.2">
      <c r="A17" s="74" t="str">
        <f>IF(ISBLANK(B17),"",_xlfn.ISOWEEKNUM('Journal de travail'!$B17))</f>
        <v/>
      </c>
      <c r="B17" s="40"/>
      <c r="C17" s="41"/>
      <c r="D17" s="42"/>
      <c r="E17" s="43"/>
      <c r="F17" s="28"/>
      <c r="G17" s="46"/>
      <c r="O17">
        <v>45</v>
      </c>
    </row>
    <row r="18" spans="1:15" x14ac:dyDescent="0.2">
      <c r="A18" s="73" t="str">
        <f>IF(ISBLANK(B18),"",_xlfn.ISOWEEKNUM('Journal de travail'!$B18))</f>
        <v/>
      </c>
      <c r="B18" s="36"/>
      <c r="C18" s="37"/>
      <c r="D18" s="38"/>
      <c r="E18" s="39"/>
      <c r="F18" s="28"/>
      <c r="G18" s="45"/>
      <c r="O18">
        <v>50</v>
      </c>
    </row>
    <row r="19" spans="1:15" x14ac:dyDescent="0.2">
      <c r="A19" s="74" t="str">
        <f>IF(ISBLANK(B19),"",_xlfn.ISOWEEKNUM('Journal de travail'!$B19))</f>
        <v/>
      </c>
      <c r="B19" s="40"/>
      <c r="C19" s="41"/>
      <c r="D19" s="42"/>
      <c r="E19" s="43"/>
      <c r="F19" s="28"/>
      <c r="G19" s="46"/>
      <c r="O19">
        <v>55</v>
      </c>
    </row>
    <row r="20" spans="1:15" x14ac:dyDescent="0.2">
      <c r="A20" s="73" t="str">
        <f>IF(ISBLANK(B20),"",_xlfn.ISOWEEKNUM('Journal de travail'!$B20))</f>
        <v/>
      </c>
      <c r="B20" s="36"/>
      <c r="C20" s="37"/>
      <c r="D20" s="38"/>
      <c r="E20" s="39"/>
      <c r="F20" s="28"/>
      <c r="G20" s="45"/>
    </row>
    <row r="21" spans="1:15" x14ac:dyDescent="0.2">
      <c r="A21" s="74" t="str">
        <f>IF(ISBLANK(B21),"",_xlfn.ISOWEEKNUM('Journal de travail'!$B21))</f>
        <v/>
      </c>
      <c r="B21" s="40"/>
      <c r="C21" s="41"/>
      <c r="D21" s="42"/>
      <c r="E21" s="43"/>
      <c r="F21" s="28"/>
      <c r="G21" s="46"/>
    </row>
    <row r="22" spans="1:15" x14ac:dyDescent="0.2">
      <c r="A22" s="73" t="str">
        <f>IF(ISBLANK(B22),"",_xlfn.ISOWEEKNUM('Journal de travail'!$B22))</f>
        <v/>
      </c>
      <c r="B22" s="36"/>
      <c r="C22" s="37"/>
      <c r="D22" s="38"/>
      <c r="E22" s="39"/>
      <c r="F22" s="28"/>
      <c r="G22" s="45"/>
    </row>
    <row r="23" spans="1:15" x14ac:dyDescent="0.2">
      <c r="A23" s="74" t="str">
        <f>IF(ISBLANK(B23),"",_xlfn.ISOWEEKNUM('Journal de travail'!$B23))</f>
        <v/>
      </c>
      <c r="B23" s="40"/>
      <c r="C23" s="41"/>
      <c r="D23" s="42"/>
      <c r="E23" s="43"/>
      <c r="F23" s="28"/>
      <c r="G23" s="46"/>
    </row>
    <row r="24" spans="1:15" x14ac:dyDescent="0.2">
      <c r="A24" s="73" t="str">
        <f>IF(ISBLANK(B24),"",_xlfn.ISOWEEKNUM('Journal de travail'!$B24))</f>
        <v/>
      </c>
      <c r="B24" s="36"/>
      <c r="C24" s="37"/>
      <c r="D24" s="38"/>
      <c r="E24" s="39"/>
      <c r="F24" s="28"/>
      <c r="G24" s="45"/>
    </row>
    <row r="25" spans="1:15" x14ac:dyDescent="0.2">
      <c r="A25" s="74" t="str">
        <f>IF(ISBLANK(B25),"",_xlfn.ISOWEEKNUM('Journal de travail'!$B25))</f>
        <v/>
      </c>
      <c r="B25" s="40"/>
      <c r="C25" s="41"/>
      <c r="D25" s="42"/>
      <c r="E25" s="43"/>
      <c r="F25" s="28"/>
      <c r="G25" s="46"/>
    </row>
    <row r="26" spans="1:15" x14ac:dyDescent="0.2">
      <c r="A26" s="73" t="str">
        <f>IF(ISBLANK(B26),"",_xlfn.ISOWEEKNUM('Journal de travail'!$B26))</f>
        <v/>
      </c>
      <c r="B26" s="36"/>
      <c r="C26" s="37"/>
      <c r="D26" s="38"/>
      <c r="E26" s="39"/>
      <c r="F26" s="28"/>
      <c r="G26" s="45"/>
    </row>
    <row r="27" spans="1:15" x14ac:dyDescent="0.2">
      <c r="A27" s="74" t="str">
        <f>IF(ISBLANK(B27),"",_xlfn.ISOWEEKNUM('Journal de travail'!$B27))</f>
        <v/>
      </c>
      <c r="B27" s="40"/>
      <c r="C27" s="41"/>
      <c r="D27" s="42"/>
      <c r="E27" s="43"/>
      <c r="F27" s="28"/>
      <c r="G27" s="46"/>
    </row>
    <row r="28" spans="1:15" x14ac:dyDescent="0.2">
      <c r="A28" s="73" t="str">
        <f>IF(ISBLANK(B28),"",_xlfn.ISOWEEKNUM('Journal de travail'!$B28))</f>
        <v/>
      </c>
      <c r="B28" s="36"/>
      <c r="C28" s="37"/>
      <c r="D28" s="38"/>
      <c r="E28" s="39"/>
      <c r="F28" s="27"/>
      <c r="G28" s="45"/>
    </row>
    <row r="29" spans="1:15" x14ac:dyDescent="0.2">
      <c r="A29" s="74" t="str">
        <f>IF(ISBLANK(B29),"",_xlfn.ISOWEEKNUM('Journal de travail'!$B29))</f>
        <v/>
      </c>
      <c r="B29" s="40"/>
      <c r="C29" s="41"/>
      <c r="D29" s="42"/>
      <c r="E29" s="43"/>
      <c r="F29" s="27"/>
      <c r="G29" s="46"/>
    </row>
    <row r="30" spans="1:15" x14ac:dyDescent="0.2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workbookViewId="0">
      <selection activeCell="N7" sqref="N7"/>
    </sheetView>
  </sheetViews>
  <sheetFormatPr baseColWidth="10" defaultRowHeight="19" x14ac:dyDescent="0.25"/>
  <cols>
    <col min="1" max="3" width="10.83203125" hidden="1" customWidth="1"/>
    <col min="4" max="4" width="10.8320312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3203125" bestFit="1" customWidth="1"/>
    <col min="14" max="14" width="9.33203125" bestFit="1" customWidth="1"/>
  </cols>
  <sheetData>
    <row r="2" spans="1:14" ht="21" x14ac:dyDescent="0.25">
      <c r="E2" s="77" t="s">
        <v>25</v>
      </c>
      <c r="F2" s="79">
        <v>88</v>
      </c>
      <c r="G2" s="77" t="s">
        <v>24</v>
      </c>
      <c r="L2" s="20"/>
      <c r="M2" s="52"/>
      <c r="N2" s="20"/>
    </row>
    <row r="3" spans="1:14" x14ac:dyDescent="0.25">
      <c r="L3" s="24"/>
      <c r="M3" s="25"/>
      <c r="N3" s="24"/>
    </row>
    <row r="4" spans="1:14" ht="21" x14ac:dyDescent="0.25">
      <c r="E4" s="77" t="s">
        <v>26</v>
      </c>
      <c r="L4" s="77" t="s">
        <v>22</v>
      </c>
      <c r="M4" s="48"/>
      <c r="N4" s="24"/>
    </row>
    <row r="5" spans="1:14" x14ac:dyDescent="0.25">
      <c r="A5" t="s">
        <v>16</v>
      </c>
      <c r="B5" t="s">
        <v>17</v>
      </c>
      <c r="C5" s="48" t="s">
        <v>27</v>
      </c>
      <c r="D5" s="49"/>
      <c r="E5" s="53" t="s">
        <v>12</v>
      </c>
      <c r="F5" s="54" t="s">
        <v>13</v>
      </c>
      <c r="G5" s="58" t="s">
        <v>23</v>
      </c>
      <c r="L5" s="59" t="s">
        <v>12</v>
      </c>
      <c r="M5" s="60" t="s">
        <v>13</v>
      </c>
      <c r="N5" s="61" t="s">
        <v>23</v>
      </c>
    </row>
    <row r="6" spans="1:14" x14ac:dyDescent="0.25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9" si="0">SUM(A6:B6)</f>
        <v>0</v>
      </c>
      <c r="E6" s="21" t="str">
        <f>'Journal de travail'!M8</f>
        <v>Analyse</v>
      </c>
      <c r="F6" s="50" t="str">
        <f>QUOTIENT(SUM(A6:B6),60)&amp;" h "&amp;TEXT(MOD(SUM(A6:B6),60), "00")&amp;" min"</f>
        <v>0 h 00 min</v>
      </c>
      <c r="G6" s="47" t="e">
        <f>SUM(A6:B6)/$C$10</f>
        <v>#DIV/0!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25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0</v>
      </c>
      <c r="C7">
        <f t="shared" si="0"/>
        <v>0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0 h 00 min</v>
      </c>
      <c r="G7" s="56" t="e">
        <f t="shared" ref="G7:G9" si="2">SUM(A7:B7)/$C$10</f>
        <v>#DIV/0!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25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22" t="str">
        <f>'Journal de travail'!M10</f>
        <v>Test</v>
      </c>
      <c r="F8" s="50" t="str">
        <f t="shared" si="1"/>
        <v>0 h 00 min</v>
      </c>
      <c r="G8" s="47" t="e">
        <f t="shared" si="2"/>
        <v>#DIV/0!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25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 t="e">
        <f t="shared" si="2"/>
        <v>#DIV/0!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25">
      <c r="A10">
        <f>SUM(A6:A9)</f>
        <v>0</v>
      </c>
      <c r="B10">
        <f>SUM(B6:B9)</f>
        <v>0</v>
      </c>
      <c r="C10">
        <f>SUM(A10:B10)</f>
        <v>0</v>
      </c>
      <c r="E10" s="20" t="s">
        <v>18</v>
      </c>
      <c r="F10" s="50" t="str">
        <f t="shared" si="1"/>
        <v>0 h 00 min</v>
      </c>
      <c r="G10" s="57">
        <f>C10/C11</f>
        <v>0</v>
      </c>
      <c r="L10" s="67" t="s">
        <v>18</v>
      </c>
      <c r="M10" s="68"/>
      <c r="N10" s="71">
        <f>SUM(N6:N9)</f>
        <v>1</v>
      </c>
    </row>
    <row r="11" spans="1:14" x14ac:dyDescent="0.25">
      <c r="C11">
        <f>F2*60</f>
        <v>5280</v>
      </c>
    </row>
    <row r="12" spans="1:14" x14ac:dyDescent="0.25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workbookViewId="0">
      <selection activeCell="R36" sqref="R36"/>
    </sheetView>
  </sheetViews>
  <sheetFormatPr baseColWidth="10" defaultRowHeight="16" x14ac:dyDescent="0.2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B6394C10-4386-493D-A99B-15992834CB1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Mathieu Meylan</cp:lastModifiedBy>
  <cp:revision/>
  <dcterms:created xsi:type="dcterms:W3CDTF">2023-11-21T20:00:34Z</dcterms:created>
  <dcterms:modified xsi:type="dcterms:W3CDTF">2025-01-24T14:27:06Z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